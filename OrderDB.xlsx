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8B80B01-9D27-4CDB-9F9F-EE2C08FDB2A3}" xr6:coauthVersionLast="47" xr6:coauthVersionMax="47" xr10:uidLastSave="{00000000-0000-0000-0000-000000000000}"/>
  <bookViews>
    <workbookView xWindow="-120" yWindow="-120" windowWidth="20730" windowHeight="11160" tabRatio="64" xr2:uid="{AE824E77-E076-4A94-A6E6-8CABB5C715EF}"/>
  </bookViews>
  <sheets>
    <sheet name="Sheet1" sheetId="1" r:id="rId1"/>
  </sheets>
  <definedNames>
    <definedName name="_xlnm._FilterDatabase" localSheetId="0" hidden="1">Sheet1!$A$1:$F$35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 a="1"/>
  <c r="U2" i="1"/>
  <c r="T2" i="1" a="1"/>
  <c r="T2" i="1"/>
  <c r="R4" i="1" a="1"/>
  <c r="R4" i="1"/>
  <c r="P4" i="1" a="1"/>
  <c r="P4" i="1"/>
  <c r="N4" i="1" a="1"/>
  <c r="N4" i="1"/>
  <c r="N5" i="1"/>
  <c r="M37" i="1"/>
  <c r="L37" i="1"/>
  <c r="K37" i="1"/>
  <c r="J3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<sst xmlns="http://schemas.openxmlformats.org/spreadsheetml/2006/main" count="195" uniqueCount="112">
  <si>
    <t>Product Name</t>
  </si>
  <si>
    <t>Brand Name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</si>
  <si>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</si>
  <si>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</si>
  <si>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</si>
  <si>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</si>
  <si>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</si>
  <si>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</si>
  <si>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</si>
  <si>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</si>
  <si>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</si>
  <si>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</si>
  <si>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</si>
  <si>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</si>
  <si>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</si>
  <si>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</si>
  <si>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</si>
  <si>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</si>
  <si>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</si>
  <si>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</si>
  <si>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</si>
  <si>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</si>
  <si>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</si>
  <si>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</si>
  <si>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</si>
  <si>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</si>
  <si>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</si>
  <si>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</si>
  <si>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</si>
  <si>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</si>
  <si>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</si>
  <si>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</si>
  <si>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</si>
  <si>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</si>
  <si>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</si>
  <si>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</si>
  <si>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</si>
  <si>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</si>
  <si>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</si>
  <si>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</si>
  <si>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</si>
  <si>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</si>
  <si>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</si>
  <si>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</si>
  <si>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</si>
  <si>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</si>
  <si>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</si>
  <si>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</si>
  <si>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</si>
  <si>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</si>
  <si>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</si>
  <si>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</si>
  <si>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</si>
  <si>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</si>
  <si>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</si>
  <si>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</si>
  <si>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</si>
  <si>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</si>
  <si>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</si>
  <si>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</si>
  <si>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</si>
  <si>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</si>
  <si>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</si>
  <si>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</si>
  <si>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</si>
  <si>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</si>
  <si>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</si>
  <si>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</si>
  <si>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</si>
  <si>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</si>
  <si>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</si>
  <si>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</si>
  <si>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</si>
  <si>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</si>
  <si>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</si>
  <si>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</si>
  <si>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</si>
  <si>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</si>
  <si>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</si>
  <si>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</si>
  <si>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</si>
  <si>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</si>
  <si>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</si>
  <si>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</si>
  <si>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</si>
  <si>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</si>
  <si>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</si>
  <si>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</si>
  <si>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</si>
  <si>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</si>
  <si>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</si>
  <si>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ofall product</t>
  </si>
  <si>
    <t>How many Product exist in data base</t>
  </si>
  <si>
    <t>Product ID</t>
  </si>
  <si>
    <t>``</t>
  </si>
  <si>
    <t>Average price ofproduct</t>
  </si>
  <si>
    <t>Minimum price ofproduct</t>
  </si>
  <si>
    <t>Maximum price ofproduct</t>
  </si>
  <si>
    <t>Price($)</t>
  </si>
  <si>
    <t>Count If</t>
  </si>
  <si>
    <t>Sum  If</t>
  </si>
  <si>
    <t xml:space="preserve">Conditional Function </t>
  </si>
  <si>
    <t>Statement</t>
  </si>
  <si>
    <t>DAY</t>
  </si>
  <si>
    <t>Countery code</t>
  </si>
  <si>
    <t>Month</t>
  </si>
  <si>
    <t>TEXT  FORMATING</t>
  </si>
  <si>
    <t>LEFT</t>
  </si>
  <si>
    <t>RIGHT</t>
  </si>
  <si>
    <t>MID</t>
  </si>
  <si>
    <t>LOGICAL FUNCTION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</si>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</sst>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i/>
      <u/>
      <sz val="10"/>
      <color theme="1"/>
      <name val="Arial"/>
      <family val="2"/>
    </font>
    <font>
      <i/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rgb="FF4DD0E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E0F7FA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5" fillId="0" borderId="0" applyFont="0" applyFill="0" applyBorder="0" applyAlignment="0" applyProtection="0"/>
    <xf numFmtId="0" fontId="7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</cellStyleXfs>
  <cellXfs count="30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3" fillId="3" borderId="0" xfId="1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1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top"/>
    </xf>
    <xf numFmtId="0" fontId="0" fillId="6" borderId="0" xfId="0" applyFill="1" applyAlignment="1">
      <alignment horizontal="center"/>
    </xf>
    <xf numFmtId="0" fontId="4" fillId="0" borderId="0" xfId="1" applyFont="1"/>
    <xf numFmtId="0" fontId="4" fillId="3" borderId="0" xfId="1" applyFont="1" applyFill="1"/>
    <xf numFmtId="0" fontId="4" fillId="0" borderId="0" xfId="1" applyFont="1" applyAlignment="1">
      <alignment horizontal="center"/>
    </xf>
    <xf numFmtId="0" fontId="4" fillId="7" borderId="0" xfId="1" applyFont="1" applyFill="1" applyAlignment="1">
      <alignment horizontal="center"/>
    </xf>
    <xf numFmtId="0" fontId="3" fillId="7" borderId="0" xfId="1" applyFont="1" applyFill="1" applyAlignment="1">
      <alignment horizontal="center"/>
    </xf>
    <xf numFmtId="0" fontId="3" fillId="3" borderId="0" xfId="1" applyFont="1" applyFill="1" applyAlignment="1">
      <alignment horizontal="right"/>
    </xf>
    <xf numFmtId="0" fontId="3" fillId="0" borderId="0" xfId="1" applyFont="1" applyAlignment="1">
      <alignment horizontal="center"/>
    </xf>
    <xf numFmtId="0" fontId="4" fillId="0" borderId="2" xfId="1" applyFont="1" applyBorder="1" applyAlignment="1">
      <alignment horizontal="center"/>
    </xf>
    <xf numFmtId="0" fontId="4" fillId="7" borderId="1" xfId="1" applyFont="1" applyFill="1" applyBorder="1" applyAlignment="1">
      <alignment horizontal="center"/>
    </xf>
    <xf numFmtId="0" fontId="3" fillId="7" borderId="3" xfId="1" applyFont="1" applyFill="1" applyBorder="1" applyAlignment="1">
      <alignment horizontal="center"/>
    </xf>
    <xf numFmtId="43" fontId="0" fillId="0" borderId="0" xfId="2" applyFont="1"/>
    <xf numFmtId="0" fontId="8" fillId="2" borderId="0" xfId="1" applyFont="1" applyFill="1" applyAlignment="1">
      <alignment horizontal="center"/>
    </xf>
    <xf numFmtId="0" fontId="6" fillId="0" borderId="0" xfId="0" applyFont="1"/>
    <xf numFmtId="0" fontId="8" fillId="11" borderId="4" xfId="1" applyFont="1" applyFill="1" applyBorder="1"/>
    <xf numFmtId="0" fontId="8" fillId="0" borderId="0" xfId="1" applyFont="1"/>
    <xf numFmtId="0" fontId="9" fillId="3" borderId="0" xfId="1" applyFont="1" applyFill="1"/>
    <xf numFmtId="0" fontId="10" fillId="0" borderId="0" xfId="0" applyFont="1"/>
    <xf numFmtId="0" fontId="5" fillId="9" borderId="0" xfId="4"/>
    <xf numFmtId="0" fontId="5" fillId="10" borderId="0" xfId="5"/>
    <xf numFmtId="0" fontId="7" fillId="8" borderId="0" xfId="3"/>
  </cellXfs>
  <cellStyles count="6">
    <cellStyle name="20% - Accent2" xfId="4" builtinId="34"/>
    <cellStyle name="40% - Accent2" xfId="5" builtinId="35"/>
    <cellStyle name="Accent2" xfId="3" builtinId="33"/>
    <cellStyle name="Comma" xfId="2" builtinId="3"/>
    <cellStyle name="Normal" xfId="0" builtinId="0"/>
    <cellStyle name="Normal 2" xfId="1" xr:uid="{1B8FE551-C499-43DD-88B5-CF045ECC92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31A7-7237-4F96-91B5-1FF2652A3072}">
  <dimension ref="A1:U38"/>
  <sheetViews>
    <sheetView tabSelected="1" topLeftCell="F1" zoomScale="85" zoomScaleNormal="85" workbookViewId="0">
      <selection activeCell="Q4" sqref="Q4"/>
    </sheetView>
  </sheetViews>
  <sheetFormatPr defaultRowHeight="15" x14ac:dyDescent="0.25"/>
  <cols>
    <col min="1" max="1" width="10" customWidth="1"/>
    <col min="8" max="8" width="9.85546875" customWidth="1"/>
    <col min="9" max="9" width="27.140625" customWidth="1"/>
    <col min="10" max="10" width="30.140625" customWidth="1"/>
    <col min="11" max="13" width="27.140625" customWidth="1"/>
    <col min="14" max="14" width="19.85546875" customWidth="1"/>
    <col min="16" max="16" width="10" customWidth="1"/>
    <col min="17" max="17" width="12.85546875" customWidth="1"/>
  </cols>
  <sheetData>
    <row r="1" spans="1:21" x14ac:dyDescent="0.25">
      <c r="A1" s="1" t="s">
        <v>93</v>
      </c>
      <c r="B1" s="1" t="s">
        <v>0</v>
      </c>
      <c r="C1" s="1" t="s">
        <v>1</v>
      </c>
      <c r="D1" s="21" t="s">
        <v>98</v>
      </c>
      <c r="E1" s="1" t="s">
        <v>2</v>
      </c>
      <c r="F1" s="1" t="s">
        <v>3</v>
      </c>
      <c r="I1" s="6" t="s">
        <v>91</v>
      </c>
      <c r="J1" t="s">
        <v>92</v>
      </c>
      <c r="K1" s="6" t="s">
        <v>95</v>
      </c>
      <c r="L1" s="6" t="s">
        <v>96</v>
      </c>
      <c r="M1" s="6" t="s">
        <v>97</v>
      </c>
      <c r="P1" s="23" t="s">
        <v>106</v>
      </c>
      <c r="T1" s="22" t="s">
        <v>110</v>
      </c>
    </row>
    <row r="2" spans="1:21" x14ac:dyDescent="0.25">
      <c r="A2" s="2" t="s">
        <v>4</v>
      </c>
      <c r="B2" s="2" t="s">
        <v>5</v>
      </c>
      <c r="C2" s="2" t="s">
        <v>6</v>
      </c>
      <c r="D2" s="2">
        <v>1000</v>
      </c>
      <c r="E2" s="2">
        <v>30</v>
      </c>
      <c r="F2" s="2" t="s">
        <v>7</v>
      </c>
      <c r="I2" s="7">
        <v>1000</v>
      </c>
      <c r="J2" s="12" t="s">
        <v>5</v>
      </c>
      <c r="K2" s="7">
        <v>1000</v>
      </c>
      <c r="L2" s="7">
        <v>1000</v>
      </c>
      <c r="M2" s="7">
        <v>1000</v>
      </c>
      <c r="P2" s="22" t="s">
        <v>107</v>
      </c>
      <c r="Q2" s="22" t="s">
        <v>108</v>
      </c>
      <c r="R2" s="24" t="s">
        <v>109</v>
      </c>
      <c r="T2" t="str" cm="1">
        <f t="array" ref="T2:T35">IF(D2:D35,"&gt;=$500","High price")</f>
        <v>&gt;=$500</v>
      </c>
      <c r="U2" t="str" cm="1">
        <f t="array" ref="U2:U35">IF(D2:D35,"&lt;$500","Standard  price")</f>
        <v>&lt;$500</v>
      </c>
    </row>
    <row r="3" spans="1:21" x14ac:dyDescent="0.25">
      <c r="A3" s="3" t="s">
        <v>8</v>
      </c>
      <c r="B3" s="3" t="s">
        <v>9</v>
      </c>
      <c r="C3" s="3" t="s">
        <v>10</v>
      </c>
      <c r="D3" s="3">
        <v>80</v>
      </c>
      <c r="E3" s="15">
        <v>15</v>
      </c>
      <c r="F3" s="3" t="s">
        <v>11</v>
      </c>
      <c r="I3" s="8">
        <v>80</v>
      </c>
      <c r="J3" s="13" t="s">
        <v>9</v>
      </c>
      <c r="K3" s="8">
        <v>80</v>
      </c>
      <c r="L3" s="8">
        <v>80</v>
      </c>
      <c r="M3" s="8">
        <v>80</v>
      </c>
      <c r="N3" s="27" t="s">
        <v>101</v>
      </c>
      <c r="O3" s="27" t="s">
        <v>102</v>
      </c>
      <c r="P3" s="25" t="s">
        <v>103</v>
      </c>
      <c r="Q3" s="26" t="s">
        <v>104</v>
      </c>
      <c r="R3" s="26" t="s">
        <v>105</v>
      </c>
      <c r="T3" t="str">
        <v>&gt;=$500</v>
      </c>
      <c r="U3" t="str">
        <v>&lt;$500</v>
      </c>
    </row>
    <row r="4" spans="1:21" x14ac:dyDescent="0.25">
      <c r="A4" s="2" t="s">
        <v>12</v>
      </c>
      <c r="B4" s="10" t="s">
        <v>13</v>
      </c>
      <c r="C4" s="2" t="s">
        <v>14</v>
      </c>
      <c r="D4" s="2">
        <v>130</v>
      </c>
      <c r="E4" s="2">
        <v>40</v>
      </c>
      <c r="F4" s="2" t="s">
        <v>15</v>
      </c>
      <c r="I4" s="9">
        <v>130</v>
      </c>
      <c r="J4" s="12" t="s">
        <v>13</v>
      </c>
      <c r="K4" s="9">
        <v>130</v>
      </c>
      <c r="L4" s="9">
        <v>130</v>
      </c>
      <c r="M4" s="9">
        <v>130</v>
      </c>
      <c r="N4" s="28" cm="1">
        <f t="array" ref="N4">SUMIF(D2:D35,Electronics)</f>
        <v>0</v>
      </c>
      <c r="O4" s="29" t="s">
        <v>100</v>
      </c>
      <c r="P4" s="2" t="str" cm="1">
        <f t="array" ref="P4:P37">LEFT(A2:A35,2)</f>
        <v>28</v>
      </c>
      <c r="Q4" t="s">
        <v>111</v>
      </c>
      <c r="R4" t="str" cm="1">
        <f t="array" ref="R4:R37">MID(A2:A35,4,6)</f>
        <v>JAN-US</v>
      </c>
      <c r="T4" t="str">
        <v>&gt;=$500</v>
      </c>
      <c r="U4" t="str">
        <v>&lt;$500</v>
      </c>
    </row>
    <row r="5" spans="1:21" x14ac:dyDescent="0.25">
      <c r="A5" s="3" t="s">
        <v>16</v>
      </c>
      <c r="B5" s="11" t="s">
        <v>17</v>
      </c>
      <c r="C5" s="3" t="s">
        <v>18</v>
      </c>
      <c r="D5" s="3">
        <v>900</v>
      </c>
      <c r="E5" s="3">
        <v>25</v>
      </c>
      <c r="F5" s="3" t="s">
        <v>7</v>
      </c>
      <c r="I5" s="9">
        <v>900</v>
      </c>
      <c r="J5" s="14" t="s">
        <v>17</v>
      </c>
      <c r="K5" s="9">
        <v>900</v>
      </c>
      <c r="L5" s="9">
        <v>900</v>
      </c>
      <c r="M5" s="9">
        <v>900</v>
      </c>
      <c r="N5" s="28">
        <f>COUNTIF(D2:D35,"&gt;$100")</f>
        <v>0</v>
      </c>
      <c r="O5" s="29" t="s">
        <v>99</v>
      </c>
      <c r="P5" s="3" t="str">
        <v>15</v>
      </c>
      <c r="R5" t="str">
        <v>FEB-US</v>
      </c>
      <c r="T5" t="str">
        <v>&gt;=$500</v>
      </c>
      <c r="U5" t="str">
        <v>&lt;$500</v>
      </c>
    </row>
    <row r="6" spans="1:21" x14ac:dyDescent="0.25">
      <c r="A6" s="2" t="s">
        <v>19</v>
      </c>
      <c r="B6" s="10" t="s">
        <v>20</v>
      </c>
      <c r="C6" s="2" t="s">
        <v>21</v>
      </c>
      <c r="D6" s="2">
        <v>70</v>
      </c>
      <c r="E6" s="2">
        <v>20</v>
      </c>
      <c r="F6" s="2" t="s">
        <v>22</v>
      </c>
      <c r="I6" s="9">
        <v>70</v>
      </c>
      <c r="J6" s="12" t="s">
        <v>20</v>
      </c>
      <c r="K6" s="9">
        <v>70</v>
      </c>
      <c r="L6" s="9">
        <v>70</v>
      </c>
      <c r="M6" s="9">
        <v>70</v>
      </c>
      <c r="P6" s="2" t="str">
        <v>03</v>
      </c>
      <c r="R6" t="str">
        <v>MAR-US</v>
      </c>
      <c r="T6" t="str">
        <v>&gt;=$500</v>
      </c>
      <c r="U6" t="str">
        <v>&lt;$500</v>
      </c>
    </row>
    <row r="7" spans="1:21" x14ac:dyDescent="0.25">
      <c r="A7" s="3" t="s">
        <v>23</v>
      </c>
      <c r="B7" s="11" t="s">
        <v>24</v>
      </c>
      <c r="C7" s="3" t="s">
        <v>25</v>
      </c>
      <c r="D7" s="3">
        <v>200</v>
      </c>
      <c r="E7" s="3">
        <v>45</v>
      </c>
      <c r="F7" s="3" t="s">
        <v>7</v>
      </c>
      <c r="I7" s="9">
        <v>200</v>
      </c>
      <c r="J7" s="4" t="s">
        <v>24</v>
      </c>
      <c r="K7" s="9">
        <v>200</v>
      </c>
      <c r="L7" s="9">
        <v>200</v>
      </c>
      <c r="M7" s="9">
        <v>200</v>
      </c>
      <c r="P7" s="3" t="str">
        <v>11</v>
      </c>
      <c r="R7" t="str">
        <v>APR-US</v>
      </c>
      <c r="T7" t="str">
        <v>&gt;=$500</v>
      </c>
      <c r="U7" t="str">
        <v>&lt;$500</v>
      </c>
    </row>
    <row r="8" spans="1:21" x14ac:dyDescent="0.25">
      <c r="A8" s="2" t="s">
        <v>26</v>
      </c>
      <c r="B8" s="10" t="s">
        <v>27</v>
      </c>
      <c r="C8" s="2" t="s">
        <v>28</v>
      </c>
      <c r="D8" s="2">
        <v>30</v>
      </c>
      <c r="E8" s="2">
        <v>5</v>
      </c>
      <c r="F8" s="2" t="s">
        <v>11</v>
      </c>
      <c r="I8" s="9">
        <v>30</v>
      </c>
      <c r="J8" s="4" t="s">
        <v>27</v>
      </c>
      <c r="K8" s="9">
        <v>30</v>
      </c>
      <c r="L8" s="9">
        <v>30</v>
      </c>
      <c r="M8" s="9">
        <v>30</v>
      </c>
      <c r="P8" s="2" t="str">
        <v>22</v>
      </c>
      <c r="R8" t="str">
        <v>MAY-US</v>
      </c>
      <c r="T8" t="str">
        <v>&gt;=$500</v>
      </c>
      <c r="U8" t="str">
        <v>&lt;$500</v>
      </c>
    </row>
    <row r="9" spans="1:21" x14ac:dyDescent="0.25">
      <c r="A9" s="3" t="s">
        <v>29</v>
      </c>
      <c r="B9" s="11" t="s">
        <v>30</v>
      </c>
      <c r="C9" s="3" t="s">
        <v>31</v>
      </c>
      <c r="D9" s="3">
        <v>90</v>
      </c>
      <c r="E9" s="3">
        <v>35</v>
      </c>
      <c r="F9" s="3" t="s">
        <v>15</v>
      </c>
      <c r="I9" s="9">
        <v>90</v>
      </c>
      <c r="J9" s="4" t="s">
        <v>30</v>
      </c>
      <c r="K9" s="9">
        <v>90</v>
      </c>
      <c r="L9" s="9">
        <v>90</v>
      </c>
      <c r="M9" s="9">
        <v>90</v>
      </c>
      <c r="N9" s="20"/>
      <c r="P9" s="3" t="str">
        <v>07</v>
      </c>
      <c r="R9" t="str">
        <v>JUN-UK</v>
      </c>
      <c r="T9" t="str">
        <v>&gt;=$500</v>
      </c>
      <c r="U9" t="str">
        <v>&lt;$500</v>
      </c>
    </row>
    <row r="10" spans="1:21" x14ac:dyDescent="0.25">
      <c r="A10" s="2" t="s">
        <v>32</v>
      </c>
      <c r="B10" s="10" t="s">
        <v>33</v>
      </c>
      <c r="C10" s="2" t="s">
        <v>34</v>
      </c>
      <c r="D10" s="2">
        <v>500</v>
      </c>
      <c r="E10" s="2">
        <v>50</v>
      </c>
      <c r="F10" s="2" t="s">
        <v>7</v>
      </c>
      <c r="I10" s="9">
        <v>500</v>
      </c>
      <c r="J10" s="4" t="s">
        <v>33</v>
      </c>
      <c r="K10" s="9">
        <v>500</v>
      </c>
      <c r="L10" s="9">
        <v>500</v>
      </c>
      <c r="M10" s="9">
        <v>500</v>
      </c>
      <c r="P10" s="2" t="str">
        <v>19</v>
      </c>
      <c r="R10" t="str">
        <v>JUL-UK</v>
      </c>
      <c r="T10" t="str">
        <v>&gt;=$500</v>
      </c>
      <c r="U10" t="str">
        <v>&lt;$500</v>
      </c>
    </row>
    <row r="11" spans="1:21" x14ac:dyDescent="0.25">
      <c r="A11" s="3" t="s">
        <v>35</v>
      </c>
      <c r="B11" s="11" t="s">
        <v>36</v>
      </c>
      <c r="C11" s="3" t="s">
        <v>37</v>
      </c>
      <c r="D11" s="3">
        <v>130</v>
      </c>
      <c r="E11" s="3">
        <v>10</v>
      </c>
      <c r="F11" s="3" t="s">
        <v>22</v>
      </c>
      <c r="I11" s="9">
        <v>130</v>
      </c>
      <c r="J11" s="4" t="s">
        <v>36</v>
      </c>
      <c r="K11" s="9">
        <v>130</v>
      </c>
      <c r="L11" s="9">
        <v>130</v>
      </c>
      <c r="M11" s="9">
        <v>130</v>
      </c>
      <c r="P11" s="3" t="str">
        <v>23</v>
      </c>
      <c r="R11" t="str">
        <v>AUG-UK</v>
      </c>
      <c r="T11" t="str">
        <v>&gt;=$500</v>
      </c>
      <c r="U11" t="str">
        <v>&lt;$500</v>
      </c>
    </row>
    <row r="12" spans="1:21" x14ac:dyDescent="0.25">
      <c r="A12" s="2" t="s">
        <v>38</v>
      </c>
      <c r="B12" s="10" t="s">
        <v>5</v>
      </c>
      <c r="C12" s="2" t="s">
        <v>39</v>
      </c>
      <c r="D12" s="2">
        <v>950</v>
      </c>
      <c r="E12" s="2">
        <v>25</v>
      </c>
      <c r="F12" s="2" t="s">
        <v>7</v>
      </c>
      <c r="I12" s="9">
        <v>950</v>
      </c>
      <c r="J12" s="4" t="s">
        <v>5</v>
      </c>
      <c r="K12" s="9">
        <v>950</v>
      </c>
      <c r="L12" s="9">
        <v>950</v>
      </c>
      <c r="M12" s="9">
        <v>950</v>
      </c>
      <c r="P12" s="2" t="str">
        <v>05</v>
      </c>
      <c r="R12" t="str">
        <v>SEP-UK</v>
      </c>
      <c r="T12" t="str">
        <v>&gt;=$500</v>
      </c>
      <c r="U12" t="str">
        <v>&lt;$500</v>
      </c>
    </row>
    <row r="13" spans="1:21" x14ac:dyDescent="0.25">
      <c r="A13" s="3" t="s">
        <v>40</v>
      </c>
      <c r="B13" s="11" t="s">
        <v>9</v>
      </c>
      <c r="C13" s="3" t="s">
        <v>28</v>
      </c>
      <c r="D13" s="3">
        <v>90</v>
      </c>
      <c r="E13" s="3">
        <v>40</v>
      </c>
      <c r="F13" s="3" t="s">
        <v>11</v>
      </c>
      <c r="I13" s="9">
        <v>90</v>
      </c>
      <c r="J13" s="4" t="s">
        <v>9</v>
      </c>
      <c r="K13" s="9">
        <v>90</v>
      </c>
      <c r="L13" s="9">
        <v>90</v>
      </c>
      <c r="M13" s="9">
        <v>90</v>
      </c>
      <c r="P13" s="3" t="str">
        <v>14</v>
      </c>
      <c r="R13" t="str">
        <v>OCT-UK</v>
      </c>
      <c r="T13" t="str">
        <v>&gt;=$500</v>
      </c>
      <c r="U13" t="str">
        <v>&lt;$500</v>
      </c>
    </row>
    <row r="14" spans="1:21" x14ac:dyDescent="0.25">
      <c r="A14" s="2" t="s">
        <v>41</v>
      </c>
      <c r="B14" s="10" t="s">
        <v>13</v>
      </c>
      <c r="C14" s="2" t="s">
        <v>42</v>
      </c>
      <c r="D14" s="2">
        <v>120</v>
      </c>
      <c r="E14" s="2">
        <v>35</v>
      </c>
      <c r="F14" s="2" t="s">
        <v>15</v>
      </c>
      <c r="I14" s="9">
        <v>120</v>
      </c>
      <c r="J14" s="4" t="s">
        <v>13</v>
      </c>
      <c r="K14" s="9">
        <v>120</v>
      </c>
      <c r="L14" s="9">
        <v>120</v>
      </c>
      <c r="M14" s="9">
        <v>120</v>
      </c>
      <c r="P14" s="2" t="str">
        <v>17</v>
      </c>
      <c r="R14" t="str">
        <v>JUN-IN</v>
      </c>
      <c r="T14" t="str">
        <v>&gt;=$500</v>
      </c>
      <c r="U14" t="str">
        <v>&lt;$500</v>
      </c>
    </row>
    <row r="15" spans="1:21" x14ac:dyDescent="0.25">
      <c r="A15" s="3" t="s">
        <v>43</v>
      </c>
      <c r="B15" s="11" t="s">
        <v>44</v>
      </c>
      <c r="C15" s="3" t="s">
        <v>45</v>
      </c>
      <c r="D15" s="3">
        <v>150</v>
      </c>
      <c r="E15" s="3">
        <v>15</v>
      </c>
      <c r="F15" s="3" t="s">
        <v>7</v>
      </c>
      <c r="I15" s="9">
        <v>150</v>
      </c>
      <c r="J15" s="4" t="s">
        <v>44</v>
      </c>
      <c r="K15" s="9">
        <v>150</v>
      </c>
      <c r="L15" s="9">
        <v>150</v>
      </c>
      <c r="M15" s="9">
        <v>150</v>
      </c>
      <c r="P15" s="3" t="str">
        <v>25</v>
      </c>
      <c r="R15" t="str">
        <v>NOV-AU</v>
      </c>
      <c r="T15" t="str">
        <v>&gt;=$500</v>
      </c>
      <c r="U15" t="str">
        <v>&lt;$500</v>
      </c>
    </row>
    <row r="16" spans="1:21" x14ac:dyDescent="0.25">
      <c r="A16" s="2" t="s">
        <v>46</v>
      </c>
      <c r="B16" s="10" t="s">
        <v>24</v>
      </c>
      <c r="C16" s="2" t="s">
        <v>47</v>
      </c>
      <c r="D16" s="2">
        <v>250</v>
      </c>
      <c r="E16" s="2">
        <v>20</v>
      </c>
      <c r="F16" s="2" t="s">
        <v>7</v>
      </c>
      <c r="I16" s="9">
        <v>250</v>
      </c>
      <c r="J16" s="4" t="s">
        <v>24</v>
      </c>
      <c r="K16" s="9">
        <v>250</v>
      </c>
      <c r="L16" s="9">
        <v>250</v>
      </c>
      <c r="M16" s="9">
        <v>250</v>
      </c>
      <c r="P16" s="2" t="str">
        <v>08</v>
      </c>
      <c r="R16" t="str">
        <v>DEC-DE</v>
      </c>
      <c r="T16" t="str">
        <v>&gt;=$500</v>
      </c>
      <c r="U16" t="str">
        <v>&lt;$500</v>
      </c>
    </row>
    <row r="17" spans="1:21" x14ac:dyDescent="0.25">
      <c r="A17" s="3" t="s">
        <v>48</v>
      </c>
      <c r="B17" s="11" t="s">
        <v>49</v>
      </c>
      <c r="C17" s="3" t="s">
        <v>50</v>
      </c>
      <c r="D17" s="3">
        <v>50</v>
      </c>
      <c r="E17" s="3">
        <v>35</v>
      </c>
      <c r="F17" s="3" t="s">
        <v>51</v>
      </c>
      <c r="I17" s="9">
        <v>50</v>
      </c>
      <c r="J17" s="4" t="s">
        <v>49</v>
      </c>
      <c r="K17" s="9">
        <v>50</v>
      </c>
      <c r="L17" s="9">
        <v>50</v>
      </c>
      <c r="M17" s="9">
        <v>50</v>
      </c>
      <c r="P17" s="3" t="str">
        <v>18</v>
      </c>
      <c r="R17" t="str">
        <v>FEB-CA</v>
      </c>
      <c r="T17" t="str">
        <v>&gt;=$500</v>
      </c>
      <c r="U17" t="str">
        <v>&lt;$500</v>
      </c>
    </row>
    <row r="18" spans="1:21" x14ac:dyDescent="0.25">
      <c r="A18" s="2" t="s">
        <v>52</v>
      </c>
      <c r="B18" s="10" t="s">
        <v>44</v>
      </c>
      <c r="C18" s="2" t="s">
        <v>53</v>
      </c>
      <c r="D18" s="2">
        <v>160</v>
      </c>
      <c r="E18" s="2">
        <v>15</v>
      </c>
      <c r="F18" s="2" t="s">
        <v>7</v>
      </c>
      <c r="I18" s="9">
        <v>160</v>
      </c>
      <c r="J18" s="17" t="s">
        <v>44</v>
      </c>
      <c r="K18" s="9">
        <v>160</v>
      </c>
      <c r="L18" s="9">
        <v>160</v>
      </c>
      <c r="M18" s="9">
        <v>160</v>
      </c>
      <c r="P18" s="2" t="str">
        <v>16</v>
      </c>
      <c r="R18" t="str">
        <v>APR-ES</v>
      </c>
      <c r="T18" t="str">
        <v>&gt;=$500</v>
      </c>
      <c r="U18" t="str">
        <v>&lt;$500</v>
      </c>
    </row>
    <row r="19" spans="1:21" x14ac:dyDescent="0.25">
      <c r="A19" s="3" t="s">
        <v>54</v>
      </c>
      <c r="B19" s="11" t="s">
        <v>5</v>
      </c>
      <c r="C19" s="3" t="s">
        <v>55</v>
      </c>
      <c r="D19" s="3">
        <v>980</v>
      </c>
      <c r="E19" s="3">
        <v>10</v>
      </c>
      <c r="F19" s="3" t="s">
        <v>7</v>
      </c>
      <c r="I19" s="9">
        <v>980</v>
      </c>
      <c r="J19" s="18" t="s">
        <v>5</v>
      </c>
      <c r="K19" s="9">
        <v>980</v>
      </c>
      <c r="L19" s="9">
        <v>980</v>
      </c>
      <c r="M19" s="9">
        <v>980</v>
      </c>
      <c r="P19" s="3" t="str">
        <v>21</v>
      </c>
      <c r="R19" t="str">
        <v>AUG-CA</v>
      </c>
      <c r="T19" t="str">
        <v>&gt;=$500</v>
      </c>
      <c r="U19" t="str">
        <v>&lt;$500</v>
      </c>
    </row>
    <row r="20" spans="1:21" x14ac:dyDescent="0.25">
      <c r="A20" s="2" t="s">
        <v>56</v>
      </c>
      <c r="B20" s="2" t="s">
        <v>57</v>
      </c>
      <c r="C20" s="2" t="s">
        <v>58</v>
      </c>
      <c r="D20" s="2">
        <v>150</v>
      </c>
      <c r="E20" s="2">
        <v>15</v>
      </c>
      <c r="F20" s="2" t="s">
        <v>11</v>
      </c>
      <c r="I20" s="9">
        <v>150</v>
      </c>
      <c r="J20" s="16" t="s">
        <v>57</v>
      </c>
      <c r="K20" s="9">
        <v>150</v>
      </c>
      <c r="L20" s="9">
        <v>150</v>
      </c>
      <c r="M20" s="9">
        <v>150</v>
      </c>
      <c r="P20" s="2" t="str">
        <v>20</v>
      </c>
      <c r="R20" t="str">
        <v>AUG-CN</v>
      </c>
      <c r="T20" t="str">
        <v>&gt;=$500</v>
      </c>
      <c r="U20" t="str">
        <v>&lt;$500</v>
      </c>
    </row>
    <row r="21" spans="1:21" x14ac:dyDescent="0.25">
      <c r="A21" s="3" t="s">
        <v>59</v>
      </c>
      <c r="B21" s="3" t="s">
        <v>60</v>
      </c>
      <c r="C21" s="3" t="s">
        <v>61</v>
      </c>
      <c r="D21" s="3">
        <v>200</v>
      </c>
      <c r="E21" s="3">
        <v>10</v>
      </c>
      <c r="F21" s="3" t="s">
        <v>22</v>
      </c>
      <c r="I21" s="9">
        <v>200</v>
      </c>
      <c r="J21" s="14" t="s">
        <v>60</v>
      </c>
      <c r="K21" s="9">
        <v>200</v>
      </c>
      <c r="L21" s="9">
        <v>200</v>
      </c>
      <c r="M21" s="9">
        <v>200</v>
      </c>
      <c r="P21" s="3" t="str">
        <v>27</v>
      </c>
      <c r="R21" t="str">
        <v>JAN-IT</v>
      </c>
      <c r="T21" t="str">
        <v>&gt;=$500</v>
      </c>
      <c r="U21" t="str">
        <v>&lt;$500</v>
      </c>
    </row>
    <row r="22" spans="1:21" x14ac:dyDescent="0.25">
      <c r="A22" s="2" t="s">
        <v>62</v>
      </c>
      <c r="B22" s="2" t="s">
        <v>63</v>
      </c>
      <c r="C22" s="2" t="s">
        <v>64</v>
      </c>
      <c r="D22" s="2">
        <v>700</v>
      </c>
      <c r="E22" s="2">
        <v>50</v>
      </c>
      <c r="F22" s="2" t="s">
        <v>7</v>
      </c>
      <c r="I22" s="9">
        <v>700</v>
      </c>
      <c r="J22" s="16" t="s">
        <v>63</v>
      </c>
      <c r="K22" s="9">
        <v>700</v>
      </c>
      <c r="L22" s="9">
        <v>700</v>
      </c>
      <c r="M22" s="9">
        <v>700</v>
      </c>
      <c r="P22" s="2" t="str">
        <v>01</v>
      </c>
      <c r="R22" t="str">
        <v>MAR-UK</v>
      </c>
      <c r="T22" t="str">
        <v>&gt;=$500</v>
      </c>
      <c r="U22" t="str">
        <v>&lt;$500</v>
      </c>
    </row>
    <row r="23" spans="1:21" x14ac:dyDescent="0.25">
      <c r="A23" s="3" t="s">
        <v>65</v>
      </c>
      <c r="B23" s="3" t="s">
        <v>66</v>
      </c>
      <c r="C23" s="3" t="s">
        <v>67</v>
      </c>
      <c r="D23" s="3">
        <v>80</v>
      </c>
      <c r="E23" s="3">
        <v>20</v>
      </c>
      <c r="F23" s="3" t="s">
        <v>15</v>
      </c>
      <c r="I23" s="9">
        <v>80</v>
      </c>
      <c r="J23" s="14" t="s">
        <v>66</v>
      </c>
      <c r="K23" s="9">
        <v>80</v>
      </c>
      <c r="L23" s="9">
        <v>80</v>
      </c>
      <c r="M23" s="9">
        <v>80</v>
      </c>
      <c r="P23" s="3" t="str">
        <v>14</v>
      </c>
      <c r="R23" t="str">
        <v>AUG-US</v>
      </c>
      <c r="T23" t="str">
        <v>&gt;=$500</v>
      </c>
      <c r="U23" t="str">
        <v>&lt;$500</v>
      </c>
    </row>
    <row r="24" spans="1:21" x14ac:dyDescent="0.25">
      <c r="A24" s="2" t="s">
        <v>68</v>
      </c>
      <c r="B24" s="2" t="s">
        <v>69</v>
      </c>
      <c r="C24" s="2" t="s">
        <v>70</v>
      </c>
      <c r="D24" s="2">
        <v>150</v>
      </c>
      <c r="E24" s="2">
        <v>30</v>
      </c>
      <c r="F24" s="2" t="s">
        <v>7</v>
      </c>
      <c r="I24" s="9">
        <v>150</v>
      </c>
      <c r="J24" s="16" t="s">
        <v>69</v>
      </c>
      <c r="K24" s="9">
        <v>150</v>
      </c>
      <c r="L24" s="9">
        <v>150</v>
      </c>
      <c r="M24" s="9">
        <v>150</v>
      </c>
      <c r="P24" s="2" t="str">
        <v>14</v>
      </c>
      <c r="R24" t="str">
        <v>MAY-RU</v>
      </c>
      <c r="T24" t="str">
        <v>&gt;=$500</v>
      </c>
      <c r="U24" t="str">
        <v>&lt;$500</v>
      </c>
    </row>
    <row r="25" spans="1:21" x14ac:dyDescent="0.25">
      <c r="A25" s="3" t="s">
        <v>48</v>
      </c>
      <c r="B25" s="3" t="s">
        <v>49</v>
      </c>
      <c r="C25" s="3" t="s">
        <v>50</v>
      </c>
      <c r="D25" s="3">
        <v>50</v>
      </c>
      <c r="E25" s="3">
        <v>35</v>
      </c>
      <c r="F25" s="3" t="s">
        <v>51</v>
      </c>
      <c r="I25" s="9">
        <v>50</v>
      </c>
      <c r="J25" s="14" t="s">
        <v>49</v>
      </c>
      <c r="K25" s="9">
        <v>50</v>
      </c>
      <c r="L25" s="9">
        <v>50</v>
      </c>
      <c r="M25" s="9">
        <v>50</v>
      </c>
      <c r="P25" s="3" t="str">
        <v>09</v>
      </c>
      <c r="R25" t="str">
        <v>JAN-CA</v>
      </c>
      <c r="T25" t="str">
        <v>&gt;=$500</v>
      </c>
      <c r="U25" t="str">
        <v>&lt;$500</v>
      </c>
    </row>
    <row r="26" spans="1:21" x14ac:dyDescent="0.25">
      <c r="A26" s="2" t="s">
        <v>71</v>
      </c>
      <c r="B26" s="2" t="s">
        <v>17</v>
      </c>
      <c r="C26" s="2" t="s">
        <v>72</v>
      </c>
      <c r="D26" s="2">
        <v>800</v>
      </c>
      <c r="E26" s="2">
        <v>45</v>
      </c>
      <c r="F26" s="2" t="s">
        <v>7</v>
      </c>
      <c r="I26" s="9">
        <v>800</v>
      </c>
      <c r="J26" s="16" t="s">
        <v>17</v>
      </c>
      <c r="K26" s="9">
        <v>800</v>
      </c>
      <c r="L26" s="9">
        <v>800</v>
      </c>
      <c r="M26" s="9">
        <v>800</v>
      </c>
      <c r="P26" s="2" t="str">
        <v>19</v>
      </c>
      <c r="R26" t="str">
        <v>JUL-BR</v>
      </c>
      <c r="T26" t="str">
        <v>&gt;=$500</v>
      </c>
      <c r="U26" t="str">
        <v>&lt;$500</v>
      </c>
    </row>
    <row r="27" spans="1:21" x14ac:dyDescent="0.25">
      <c r="A27" s="3" t="s">
        <v>73</v>
      </c>
      <c r="B27" s="3" t="s">
        <v>57</v>
      </c>
      <c r="C27" s="3" t="s">
        <v>74</v>
      </c>
      <c r="D27" s="3">
        <v>130</v>
      </c>
      <c r="E27" s="3">
        <v>25</v>
      </c>
      <c r="F27" s="3" t="s">
        <v>11</v>
      </c>
      <c r="I27" s="9">
        <v>130</v>
      </c>
      <c r="J27" s="14" t="s">
        <v>57</v>
      </c>
      <c r="K27" s="9">
        <v>130</v>
      </c>
      <c r="L27" s="9">
        <v>130</v>
      </c>
      <c r="M27" s="9">
        <v>130</v>
      </c>
      <c r="P27" s="3" t="str">
        <v>21</v>
      </c>
      <c r="R27" t="str">
        <v>AUG-CA</v>
      </c>
      <c r="T27" t="str">
        <v>&gt;=$500</v>
      </c>
      <c r="U27" t="str">
        <v>&lt;$500</v>
      </c>
    </row>
    <row r="28" spans="1:21" x14ac:dyDescent="0.25">
      <c r="A28" s="2" t="s">
        <v>75</v>
      </c>
      <c r="B28" s="2" t="s">
        <v>30</v>
      </c>
      <c r="C28" s="2" t="s">
        <v>76</v>
      </c>
      <c r="D28" s="2">
        <v>400</v>
      </c>
      <c r="E28" s="2">
        <v>40</v>
      </c>
      <c r="F28" s="2" t="s">
        <v>15</v>
      </c>
      <c r="I28" s="9">
        <v>400</v>
      </c>
      <c r="J28" s="16" t="s">
        <v>30</v>
      </c>
      <c r="K28" s="9">
        <v>400</v>
      </c>
      <c r="L28" s="9">
        <v>400</v>
      </c>
      <c r="M28" s="9">
        <v>400</v>
      </c>
      <c r="P28" s="2" t="str">
        <v>29</v>
      </c>
      <c r="R28" t="str">
        <v>SEP-CA</v>
      </c>
      <c r="T28" t="str">
        <v>&gt;=$500</v>
      </c>
      <c r="U28" t="str">
        <v>&lt;$500</v>
      </c>
    </row>
    <row r="29" spans="1:21" x14ac:dyDescent="0.25">
      <c r="A29" s="3" t="s">
        <v>46</v>
      </c>
      <c r="B29" s="3" t="s">
        <v>24</v>
      </c>
      <c r="C29" s="3" t="s">
        <v>47</v>
      </c>
      <c r="D29" s="3">
        <v>230</v>
      </c>
      <c r="E29" s="3">
        <v>20</v>
      </c>
      <c r="F29" s="3" t="s">
        <v>7</v>
      </c>
      <c r="I29" s="9">
        <v>230</v>
      </c>
      <c r="J29" s="14" t="s">
        <v>24</v>
      </c>
      <c r="K29" s="9">
        <v>230</v>
      </c>
      <c r="L29" s="9">
        <v>230</v>
      </c>
      <c r="M29" s="9">
        <v>230</v>
      </c>
      <c r="P29" s="3" t="str">
        <v>03</v>
      </c>
      <c r="R29" t="str">
        <v>JUN-CA</v>
      </c>
      <c r="T29" t="str">
        <v>&gt;=$500</v>
      </c>
      <c r="U29" t="str">
        <v>&lt;$500</v>
      </c>
    </row>
    <row r="30" spans="1:21" x14ac:dyDescent="0.25">
      <c r="A30" s="2" t="s">
        <v>77</v>
      </c>
      <c r="B30" s="2" t="s">
        <v>78</v>
      </c>
      <c r="C30" s="2" t="s">
        <v>79</v>
      </c>
      <c r="D30" s="2">
        <v>60</v>
      </c>
      <c r="E30" s="2">
        <v>30</v>
      </c>
      <c r="F30" s="2" t="s">
        <v>11</v>
      </c>
      <c r="I30" s="9">
        <v>60</v>
      </c>
      <c r="J30" s="16" t="s">
        <v>78</v>
      </c>
      <c r="K30" s="9">
        <v>60</v>
      </c>
      <c r="L30" s="9">
        <v>60</v>
      </c>
      <c r="M30" s="9">
        <v>60</v>
      </c>
      <c r="P30" s="2" t="str">
        <v>11</v>
      </c>
      <c r="R30" t="str">
        <v>JUL-CA</v>
      </c>
      <c r="T30" t="str">
        <v>&gt;=$500</v>
      </c>
      <c r="U30" t="str">
        <v>&lt;$500</v>
      </c>
    </row>
    <row r="31" spans="1:21" x14ac:dyDescent="0.25">
      <c r="A31" s="3" t="s">
        <v>80</v>
      </c>
      <c r="B31" s="3" t="s">
        <v>81</v>
      </c>
      <c r="C31" s="3" t="s">
        <v>82</v>
      </c>
      <c r="D31" s="3">
        <v>40</v>
      </c>
      <c r="E31" s="3">
        <v>10</v>
      </c>
      <c r="F31" s="3" t="s">
        <v>15</v>
      </c>
      <c r="I31" s="9">
        <v>40</v>
      </c>
      <c r="J31" s="14" t="s">
        <v>81</v>
      </c>
      <c r="K31" s="9">
        <v>40</v>
      </c>
      <c r="L31" s="9">
        <v>40</v>
      </c>
      <c r="M31" s="9">
        <v>40</v>
      </c>
      <c r="P31" s="3" t="str">
        <v>16</v>
      </c>
      <c r="R31" t="str">
        <v>APR-ES</v>
      </c>
      <c r="T31" t="str">
        <v>&gt;=$500</v>
      </c>
      <c r="U31" t="str">
        <v>&lt;$500</v>
      </c>
    </row>
    <row r="32" spans="1:21" x14ac:dyDescent="0.25">
      <c r="A32" s="2" t="s">
        <v>83</v>
      </c>
      <c r="B32" s="2" t="s">
        <v>69</v>
      </c>
      <c r="C32" s="2" t="s">
        <v>84</v>
      </c>
      <c r="D32" s="2">
        <v>130</v>
      </c>
      <c r="E32" s="2">
        <v>5</v>
      </c>
      <c r="F32" s="2" t="s">
        <v>7</v>
      </c>
      <c r="I32" s="9">
        <v>130</v>
      </c>
      <c r="J32" s="16" t="s">
        <v>69</v>
      </c>
      <c r="K32" s="9">
        <v>130</v>
      </c>
      <c r="L32" s="9">
        <v>130</v>
      </c>
      <c r="M32" s="9">
        <v>130</v>
      </c>
      <c r="P32" s="2" t="str">
        <v>07</v>
      </c>
      <c r="R32" t="str">
        <v>MAR-CA</v>
      </c>
      <c r="T32" t="str">
        <v>&gt;=$500</v>
      </c>
      <c r="U32" t="str">
        <v>&lt;$500</v>
      </c>
    </row>
    <row r="33" spans="1:21" x14ac:dyDescent="0.25">
      <c r="A33" s="3" t="s">
        <v>85</v>
      </c>
      <c r="B33" s="3" t="s">
        <v>86</v>
      </c>
      <c r="C33" s="3" t="s">
        <v>87</v>
      </c>
      <c r="D33" s="3">
        <v>50</v>
      </c>
      <c r="E33" s="3">
        <v>50</v>
      </c>
      <c r="F33" s="3" t="s">
        <v>11</v>
      </c>
      <c r="I33" s="9">
        <v>50</v>
      </c>
      <c r="J33" s="14" t="s">
        <v>86</v>
      </c>
      <c r="K33" s="9">
        <v>50</v>
      </c>
      <c r="L33" s="9">
        <v>50</v>
      </c>
      <c r="M33" s="9">
        <v>50</v>
      </c>
      <c r="P33" s="3" t="str">
        <v>13</v>
      </c>
      <c r="R33" t="str">
        <v>APR-CA</v>
      </c>
      <c r="T33" t="str">
        <v>&gt;=$500</v>
      </c>
      <c r="U33" t="str">
        <v>&lt;$500</v>
      </c>
    </row>
    <row r="34" spans="1:21" ht="15.75" thickBot="1" x14ac:dyDescent="0.3">
      <c r="A34" s="2" t="s">
        <v>38</v>
      </c>
      <c r="B34" s="2" t="s">
        <v>5</v>
      </c>
      <c r="C34" s="2" t="s">
        <v>39</v>
      </c>
      <c r="D34" s="2">
        <v>950</v>
      </c>
      <c r="E34" s="2">
        <v>25</v>
      </c>
      <c r="F34" s="2" t="s">
        <v>7</v>
      </c>
      <c r="I34" s="9">
        <v>950</v>
      </c>
      <c r="J34" s="16" t="s">
        <v>5</v>
      </c>
      <c r="K34" s="9">
        <v>950</v>
      </c>
      <c r="L34" s="9">
        <v>950</v>
      </c>
      <c r="M34" s="9">
        <v>950</v>
      </c>
      <c r="P34" s="2" t="str">
        <v>24</v>
      </c>
      <c r="R34" t="str">
        <v>MAY-CA</v>
      </c>
      <c r="T34" t="str">
        <v>&gt;=$500</v>
      </c>
      <c r="U34" t="str">
        <v>&lt;$500</v>
      </c>
    </row>
    <row r="35" spans="1:21" ht="15.75" thickBot="1" x14ac:dyDescent="0.3">
      <c r="A35" s="3" t="s">
        <v>88</v>
      </c>
      <c r="B35" s="3" t="s">
        <v>89</v>
      </c>
      <c r="C35" s="3" t="s">
        <v>90</v>
      </c>
      <c r="D35" s="3">
        <v>100</v>
      </c>
      <c r="E35" s="3">
        <v>20</v>
      </c>
      <c r="F35" s="3" t="s">
        <v>51</v>
      </c>
      <c r="I35" s="9">
        <v>100</v>
      </c>
      <c r="J35" s="19" t="s">
        <v>89</v>
      </c>
      <c r="K35" s="9">
        <v>100</v>
      </c>
      <c r="L35" s="9">
        <v>100</v>
      </c>
      <c r="M35" s="9">
        <v>100</v>
      </c>
      <c r="P35" s="3" t="str">
        <v>02</v>
      </c>
      <c r="R35" t="str">
        <v>DEC-CA</v>
      </c>
      <c r="T35" t="str">
        <v>&gt;=$500</v>
      </c>
      <c r="U35" t="str">
        <v>&lt;$500</v>
      </c>
    </row>
    <row r="36" spans="1:21" x14ac:dyDescent="0.25">
      <c r="P36" t="str">
        <v>17</v>
      </c>
      <c r="R36" t="str">
        <v>JUN-IN</v>
      </c>
    </row>
    <row r="37" spans="1:21" x14ac:dyDescent="0.25">
      <c r="I37" s="5">
        <v>10100</v>
      </c>
      <c r="J37" s="4">
        <f>COUNT(J2:J35)</f>
        <v>0</v>
      </c>
      <c r="K37" s="5">
        <f>AVERAGE(K2:K35)</f>
        <v>297.05882352941177</v>
      </c>
      <c r="L37" s="5">
        <f>MAX(L2:L35)</f>
        <v>1000</v>
      </c>
      <c r="M37" s="5">
        <f>MIN(M2:M35)</f>
        <v>30</v>
      </c>
      <c r="P37" t="str">
        <v>09</v>
      </c>
      <c r="R37" t="str">
        <v>JUL-FR</v>
      </c>
    </row>
    <row r="38" spans="1:21" x14ac:dyDescent="0.25">
      <c r="J38" t="s">
        <v>94</v>
      </c>
    </row>
  </sheetData>
  <conditionalFormatting sqref="A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">
    <cfRule type="colorScale" priority="15">
      <colorScale>
        <cfvo type="min"/>
        <cfvo type="max"/>
        <color rgb="FFFF7128"/>
        <color rgb="FFFFEF9C"/>
      </colorScale>
    </cfRule>
  </conditionalFormatting>
  <conditionalFormatting sqref="I1:I3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5">
    <cfRule type="colorScale" priority="13">
      <colorScale>
        <cfvo type="min"/>
        <cfvo type="max"/>
        <color rgb="FFF8696B"/>
        <color rgb="FFFCFCFF"/>
      </colorScale>
    </cfRule>
  </conditionalFormatting>
  <conditionalFormatting sqref="J1:J5 J7:J3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5 J7:J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3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M1">
    <cfRule type="colorScale" priority="8">
      <colorScale>
        <cfvo type="min"/>
        <cfvo type="max"/>
        <color rgb="FFFF7128"/>
        <color rgb="FFFFEF9C"/>
      </colorScale>
    </cfRule>
  </conditionalFormatting>
  <conditionalFormatting sqref="L1:L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2026-06-03T21:43:34Z</dcterms:created>
  <dcterms:modified xsi:type="dcterms:W3CDTF">2026-06-04T08:38:31Z</dcterms:modified>
</cp:coreProperties>
</file>